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675D9A95-FABE-440D-A701-95A0D9701450}" xr6:coauthVersionLast="47" xr6:coauthVersionMax="47" xr10:uidLastSave="{00000000-0000-0000-0000-000000000000}"/>
  <bookViews>
    <workbookView xWindow="28680" yWindow="-120" windowWidth="25440" windowHeight="15270" tabRatio="500" xr2:uid="{00000000-000D-0000-FFFF-FFFF00000000}"/>
  </bookViews>
  <sheets>
    <sheet name="To-Do List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9" i="1" l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S9" i="1"/>
  <c r="K9" i="1"/>
  <c r="I9" i="1"/>
  <c r="G9" i="1"/>
  <c r="D9" i="1"/>
</calcChain>
</file>

<file path=xl/sharedStrings.xml><?xml version="1.0" encoding="utf-8"?>
<sst xmlns="http://schemas.openxmlformats.org/spreadsheetml/2006/main" count="92" uniqueCount="61">
  <si>
    <t>TO-DO LIST</t>
  </si>
  <si>
    <t>PLAN D'ACTION HEBDOMADAIRE  •  SUIVI DE PRODUCTIVITÉ</t>
  </si>
  <si>
    <t>DATE D'AUJOURD'HUI</t>
  </si>
  <si>
    <t>TOTAL TÂCHES</t>
  </si>
  <si>
    <t>EN ATTENTE</t>
  </si>
  <si>
    <t>EN COURS</t>
  </si>
  <si>
    <t>TERMINÉ</t>
  </si>
  <si>
    <t>Restez concentré : chaque tâche terminée vous rapproche de votre objectif de la semaine !</t>
  </si>
  <si>
    <t>PROGRESSION GLOBALE</t>
  </si>
  <si>
    <t>N°</t>
  </si>
  <si>
    <t>TÂCHE</t>
  </si>
  <si>
    <t>CATÉGORIE</t>
  </si>
  <si>
    <t>PRIORITÉ</t>
  </si>
  <si>
    <t>%</t>
  </si>
  <si>
    <t>PROGRESSION</t>
  </si>
  <si>
    <t>NOTES</t>
  </si>
  <si>
    <t>SITUATION</t>
  </si>
  <si>
    <t>Revoir la proposition de projet</t>
  </si>
  <si>
    <t>Gestion de projet</t>
  </si>
  <si>
    <t>Moyenne</t>
  </si>
  <si>
    <t>En attente de retour du client</t>
  </si>
  <si>
    <t>En cours</t>
  </si>
  <si>
    <t>Planifier la réunion d'équipe</t>
  </si>
  <si>
    <t>Organisation</t>
  </si>
  <si>
    <t>Haute</t>
  </si>
  <si>
    <t>Confirmer la disponibilité des membres</t>
  </si>
  <si>
    <t>Finaliser le rapport financier</t>
  </si>
  <si>
    <t>Finance</t>
  </si>
  <si>
    <t>Inclure les chiffres du dernier trimestre</t>
  </si>
  <si>
    <t>Terminé</t>
  </si>
  <si>
    <t>Mettre à jour le site web</t>
  </si>
  <si>
    <t>Technique</t>
  </si>
  <si>
    <t>Basse</t>
  </si>
  <si>
    <t>Ajouter des mots-clés SEO</t>
  </si>
  <si>
    <t>Rédiger le plan marketing</t>
  </si>
  <si>
    <t>Marketing</t>
  </si>
  <si>
    <t>Doit être révisé par l'équipe marketing</t>
  </si>
  <si>
    <t>Répondre aux e-mails clients</t>
  </si>
  <si>
    <t>Communication</t>
  </si>
  <si>
    <t>Suivi sur les tickets ouverts</t>
  </si>
  <si>
    <t>Préparer les diapositives</t>
  </si>
  <si>
    <t>Assurer la conformité avec les nouvelles régulations</t>
  </si>
  <si>
    <t>Effectuer une étude de marché</t>
  </si>
  <si>
    <t>Analyse</t>
  </si>
  <si>
    <t>Focus sur l'analyse concurrentielle</t>
  </si>
  <si>
    <t>Finaliser le budget du T4</t>
  </si>
  <si>
    <t>Discussion avec l'équipe finance</t>
  </si>
  <si>
    <t>Tester les nouvelles fonctionnalités</t>
  </si>
  <si>
    <t>Vérifier la compatibilité avec les systèmes existants</t>
  </si>
  <si>
    <t>Concevoir des visuels pour les réseaux sociaux</t>
  </si>
  <si>
    <t>Design</t>
  </si>
  <si>
    <t>Revoir le design avec l'équipe branding</t>
  </si>
  <si>
    <t>Organiser un événement d'équipe</t>
  </si>
  <si>
    <t>Coordonner avec les RH pour la liste des participants</t>
  </si>
  <si>
    <t>Relire et éditer l'article de blog</t>
  </si>
  <si>
    <t>Rédaction</t>
  </si>
  <si>
    <t>Vérifier grammaire et fautes d'orthographe</t>
  </si>
  <si>
    <t>Planifier le lancement produit</t>
  </si>
  <si>
    <t>Planifier une démonstration pour les parties prenantes</t>
  </si>
  <si>
    <t>Mettre à jour la documentation interne</t>
  </si>
  <si>
    <t>Ajouter les nouvelles procédures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</si>
</sst>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"/>
  </numFmts>
  <fonts count="20" x14ac:knownFonts="1">
    <font>
      <sz val="11"/>
      <color theme="1"/>
      <name val="Calibri"/>
      <family val="2"/>
      <charset val="1"/>
    </font>
    <font>
      <sz val="11"/>
      <color theme="1"/>
      <name val="Times New Roman"/>
      <family val="1"/>
    </font>
    <font>
      <b/>
      <sz val="28"/>
      <color rgb="FFFFFFFF"/>
      <name val="Times New Roman"/>
      <family val="1"/>
    </font>
    <font>
      <b/>
      <sz val="11"/>
      <color rgb="FFDAAC44"/>
      <name val="Times New Roman"/>
      <family val="1"/>
    </font>
    <font>
      <b/>
      <sz val="8.5"/>
      <color rgb="FFDAAC44"/>
      <name val="Times New Roman"/>
      <family val="1"/>
    </font>
    <font>
      <b/>
      <sz val="8.5"/>
      <color rgb="FFFFFFFF"/>
      <name val="Times New Roman"/>
      <family val="1"/>
    </font>
    <font>
      <b/>
      <i/>
      <sz val="9"/>
      <color rgb="FF131934"/>
      <name val="Times New Roman"/>
      <family val="1"/>
    </font>
    <font>
      <b/>
      <sz val="20"/>
      <color rgb="FFDAAC44"/>
      <name val="Times New Roman"/>
      <family val="1"/>
    </font>
    <font>
      <b/>
      <sz val="20"/>
      <color rgb="FFFFFFFF"/>
      <name val="Times New Roman"/>
      <family val="1"/>
    </font>
    <font>
      <b/>
      <sz val="10.5"/>
      <color rgb="FFFFFFFF"/>
      <name val="Times New Roman"/>
      <family val="1"/>
    </font>
    <font>
      <b/>
      <sz val="10"/>
      <color rgb="FF131934"/>
      <name val="Times New Roman"/>
      <family val="1"/>
    </font>
    <font>
      <i/>
      <sz val="9.5"/>
      <color rgb="FF666666"/>
      <name val="Times New Roman"/>
      <family val="1"/>
    </font>
    <font>
      <b/>
      <sz val="10"/>
      <color rgb="FFC8893A"/>
      <name val="Times New Roman"/>
      <family val="1"/>
    </font>
    <font>
      <b/>
      <sz val="7.5"/>
      <color rgb="FF131934"/>
      <name val="Times New Roman"/>
      <family val="1"/>
    </font>
    <font>
      <i/>
      <sz val="9"/>
      <color rgb="FF555555"/>
      <name val="Times New Roman"/>
      <family val="1"/>
    </font>
    <font>
      <b/>
      <sz val="10"/>
      <color rgb="FFC0392B"/>
      <name val="Times New Roman"/>
      <family val="1"/>
    </font>
    <font>
      <b/>
      <sz val="10"/>
      <color rgb="FF3F7E4F"/>
      <name val="Times New Roman"/>
      <family val="1"/>
    </font>
    <font>
      <b/>
      <sz val="10"/>
      <color rgb="FF3F8A5F"/>
      <name val="Times New Roman"/>
      <family val="1"/>
    </font>
    <font>
      <b/>
      <sz val="8.5"/>
      <color theme="0"/>
      <name val="Times New Roman"/>
      <family val="1"/>
    </font>
    <font>
      <b/>
      <sz val="20"/>
      <color theme="0"/>
      <name val="Times New Roman"/>
      <family val="1"/>
    </font>
  </fonts>
  <fills count="22">
    <fill>
      <patternFill patternType="none"/>
    </fill>
    <fill>
      <patternFill patternType="gray125"/>
    </fill>
    <fill>
      <patternFill patternType="solid">
        <fgColor rgb="FF131934"/>
        <bgColor rgb="FF000000"/>
      </patternFill>
    </fill>
    <fill>
      <patternFill patternType="solid">
        <fgColor rgb="FFDAAC44"/>
        <bgColor rgb="FFE89B2E"/>
      </patternFill>
    </fill>
    <fill>
      <patternFill patternType="solid">
        <fgColor rgb="FFA9372C"/>
        <bgColor rgb="FFC0392B"/>
      </patternFill>
    </fill>
    <fill>
      <patternFill patternType="solid">
        <fgColor rgb="FFB9772B"/>
        <bgColor rgb="FFC8893A"/>
      </patternFill>
    </fill>
    <fill>
      <patternFill patternType="solid">
        <fgColor rgb="FF3F7E4F"/>
        <bgColor rgb="FF3F8A5F"/>
      </patternFill>
    </fill>
    <fill>
      <patternFill patternType="solid">
        <fgColor rgb="FFEFF5FF"/>
        <bgColor rgb="FFEAEDFC"/>
      </patternFill>
    </fill>
    <fill>
      <patternFill patternType="solid">
        <fgColor rgb="FFFDFCFF"/>
        <bgColor rgb="FFFFFFFF"/>
      </patternFill>
    </fill>
    <fill>
      <patternFill patternType="solid">
        <fgColor rgb="FFC69737"/>
        <bgColor rgb="FFC8893A"/>
      </patternFill>
    </fill>
    <fill>
      <patternFill patternType="solid">
        <fgColor rgb="FFFDF4E7"/>
        <bgColor rgb="FFFDFCFF"/>
      </patternFill>
    </fill>
    <fill>
      <patternFill patternType="solid">
        <fgColor rgb="FFEAEDFC"/>
        <bgColor rgb="FFE5F1ED"/>
      </patternFill>
    </fill>
    <fill>
      <patternFill patternType="solid">
        <fgColor rgb="FFD0602C"/>
        <bgColor rgb="FFD46A2C"/>
      </patternFill>
    </fill>
    <fill>
      <patternFill patternType="solid">
        <fgColor rgb="FF3F8A5F"/>
        <bgColor rgb="FF3F7E4F"/>
      </patternFill>
    </fill>
    <fill>
      <patternFill patternType="solid">
        <fgColor rgb="FFE5F1ED"/>
        <bgColor rgb="FFEAEDFC"/>
      </patternFill>
    </fill>
    <fill>
      <patternFill patternType="solid">
        <fgColor rgb="FFC0392B"/>
        <bgColor rgb="FFA9372C"/>
      </patternFill>
    </fill>
    <fill>
      <patternFill patternType="solid">
        <fgColor rgb="FF939246"/>
        <bgColor rgb="FFA49441"/>
      </patternFill>
    </fill>
    <fill>
      <patternFill patternType="solid">
        <fgColor rgb="FFD56D2C"/>
        <bgColor rgb="FFD46A2C"/>
      </patternFill>
    </fill>
    <fill>
      <patternFill patternType="solid">
        <fgColor rgb="FFD46A2C"/>
        <bgColor rgb="FFD56D2C"/>
      </patternFill>
    </fill>
    <fill>
      <patternFill patternType="solid">
        <fgColor rgb="FFE89B2E"/>
        <bgColor rgb="FFDAAC44"/>
      </patternFill>
    </fill>
    <fill>
      <patternFill patternType="solid">
        <fgColor rgb="FFC84C2B"/>
        <bgColor rgb="FFC0392B"/>
      </patternFill>
    </fill>
    <fill>
      <patternFill patternType="solid">
        <fgColor rgb="FF002060"/>
        <bgColor rgb="FF99CCFF"/>
      </patternFill>
    </fill>
  </fills>
  <borders count="1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/>
      <bottom/>
      <diagonal/>
    </border>
    <border>
      <left/>
      <right style="thin">
        <color rgb="FFD9D9D9"/>
      </right>
      <top/>
      <bottom/>
      <diagonal/>
    </border>
    <border>
      <left style="thin">
        <color rgb="FFD9D9D9"/>
      </left>
      <right/>
      <top style="thin">
        <color rgb="FFD9D9D9"/>
      </top>
      <bottom/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 vertical="center"/>
    </xf>
    <xf numFmtId="0" fontId="1" fillId="0" borderId="0" xfId="0" applyFont="1"/>
    <xf numFmtId="0" fontId="3" fillId="2" borderId="0" xfId="0" applyFont="1" applyFill="1" applyAlignment="1">
      <alignment horizontal="center" vertical="center"/>
    </xf>
    <xf numFmtId="0" fontId="1" fillId="3" borderId="0" xfId="0" applyFont="1" applyFill="1"/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8" borderId="2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left" vertical="center" wrapText="1"/>
    </xf>
    <xf numFmtId="0" fontId="11" fillId="8" borderId="1" xfId="0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horizontal="center" vertical="center"/>
    </xf>
    <xf numFmtId="9" fontId="10" fillId="8" borderId="1" xfId="0" applyNumberFormat="1" applyFont="1" applyFill="1" applyBorder="1" applyAlignment="1">
      <alignment horizontal="center" vertical="center"/>
    </xf>
    <xf numFmtId="0" fontId="1" fillId="9" borderId="2" xfId="0" applyFont="1" applyFill="1" applyBorder="1"/>
    <xf numFmtId="0" fontId="1" fillId="9" borderId="3" xfId="0" applyFont="1" applyFill="1" applyBorder="1"/>
    <xf numFmtId="0" fontId="1" fillId="8" borderId="3" xfId="0" applyFont="1" applyFill="1" applyBorder="1"/>
    <xf numFmtId="9" fontId="13" fillId="8" borderId="4" xfId="0" applyNumberFormat="1" applyFont="1" applyFill="1" applyBorder="1" applyAlignment="1">
      <alignment horizontal="right" vertical="center"/>
    </xf>
    <xf numFmtId="0" fontId="14" fillId="8" borderId="1" xfId="0" applyFont="1" applyFill="1" applyBorder="1" applyAlignment="1">
      <alignment horizontal="left" vertical="center" wrapText="1"/>
    </xf>
    <xf numFmtId="0" fontId="12" fillId="10" borderId="1" xfId="0" applyFont="1" applyFill="1" applyBorder="1" applyAlignment="1">
      <alignment horizontal="center" vertical="center"/>
    </xf>
    <xf numFmtId="0" fontId="10" fillId="11" borderId="2" xfId="0" applyFont="1" applyFill="1" applyBorder="1" applyAlignment="1">
      <alignment horizontal="center" vertical="center"/>
    </xf>
    <xf numFmtId="0" fontId="10" fillId="11" borderId="1" xfId="0" applyFont="1" applyFill="1" applyBorder="1" applyAlignment="1">
      <alignment horizontal="left" vertical="center" wrapText="1"/>
    </xf>
    <xf numFmtId="0" fontId="11" fillId="11" borderId="1" xfId="0" applyFont="1" applyFill="1" applyBorder="1" applyAlignment="1">
      <alignment horizontal="center" vertical="center"/>
    </xf>
    <xf numFmtId="0" fontId="15" fillId="11" borderId="1" xfId="0" applyFont="1" applyFill="1" applyBorder="1" applyAlignment="1">
      <alignment horizontal="center" vertical="center"/>
    </xf>
    <xf numFmtId="9" fontId="10" fillId="11" borderId="1" xfId="0" applyNumberFormat="1" applyFont="1" applyFill="1" applyBorder="1" applyAlignment="1">
      <alignment horizontal="center" vertical="center"/>
    </xf>
    <xf numFmtId="0" fontId="1" fillId="12" borderId="2" xfId="0" applyFont="1" applyFill="1" applyBorder="1"/>
    <xf numFmtId="0" fontId="1" fillId="12" borderId="3" xfId="0" applyFont="1" applyFill="1" applyBorder="1"/>
    <xf numFmtId="0" fontId="1" fillId="11" borderId="3" xfId="0" applyFont="1" applyFill="1" applyBorder="1"/>
    <xf numFmtId="9" fontId="13" fillId="11" borderId="4" xfId="0" applyNumberFormat="1" applyFont="1" applyFill="1" applyBorder="1" applyAlignment="1">
      <alignment horizontal="right" vertical="center"/>
    </xf>
    <xf numFmtId="0" fontId="14" fillId="11" borderId="1" xfId="0" applyFont="1" applyFill="1" applyBorder="1" applyAlignment="1">
      <alignment horizontal="left" vertical="center" wrapText="1"/>
    </xf>
    <xf numFmtId="0" fontId="1" fillId="13" borderId="2" xfId="0" applyFont="1" applyFill="1" applyBorder="1"/>
    <xf numFmtId="0" fontId="1" fillId="13" borderId="3" xfId="0" applyFont="1" applyFill="1" applyBorder="1"/>
    <xf numFmtId="9" fontId="13" fillId="13" borderId="4" xfId="0" applyNumberFormat="1" applyFont="1" applyFill="1" applyBorder="1" applyAlignment="1">
      <alignment horizontal="right" vertical="center"/>
    </xf>
    <xf numFmtId="0" fontId="16" fillId="14" borderId="1" xfId="0" applyFont="1" applyFill="1" applyBorder="1" applyAlignment="1">
      <alignment horizontal="center" vertical="center"/>
    </xf>
    <xf numFmtId="0" fontId="17" fillId="11" borderId="1" xfId="0" applyFont="1" applyFill="1" applyBorder="1" applyAlignment="1">
      <alignment horizontal="center" vertical="center"/>
    </xf>
    <xf numFmtId="0" fontId="1" fillId="15" borderId="2" xfId="0" applyFont="1" applyFill="1" applyBorder="1"/>
    <xf numFmtId="0" fontId="17" fillId="8" borderId="1" xfId="0" applyFont="1" applyFill="1" applyBorder="1" applyAlignment="1">
      <alignment horizontal="center" vertical="center"/>
    </xf>
    <xf numFmtId="0" fontId="1" fillId="16" borderId="2" xfId="0" applyFont="1" applyFill="1" applyBorder="1"/>
    <xf numFmtId="0" fontId="1" fillId="16" borderId="3" xfId="0" applyFont="1" applyFill="1" applyBorder="1"/>
    <xf numFmtId="0" fontId="1" fillId="17" borderId="2" xfId="0" applyFont="1" applyFill="1" applyBorder="1"/>
    <xf numFmtId="0" fontId="1" fillId="17" borderId="3" xfId="0" applyFont="1" applyFill="1" applyBorder="1"/>
    <xf numFmtId="0" fontId="15" fillId="8" borderId="1" xfId="0" applyFont="1" applyFill="1" applyBorder="1" applyAlignment="1">
      <alignment horizontal="center" vertical="center"/>
    </xf>
    <xf numFmtId="0" fontId="1" fillId="18" borderId="2" xfId="0" applyFont="1" applyFill="1" applyBorder="1"/>
    <xf numFmtId="0" fontId="1" fillId="18" borderId="3" xfId="0" applyFont="1" applyFill="1" applyBorder="1"/>
    <xf numFmtId="0" fontId="1" fillId="19" borderId="2" xfId="0" applyFont="1" applyFill="1" applyBorder="1"/>
    <xf numFmtId="0" fontId="1" fillId="19" borderId="3" xfId="0" applyFont="1" applyFill="1" applyBorder="1"/>
    <xf numFmtId="0" fontId="12" fillId="11" borderId="1" xfId="0" applyFont="1" applyFill="1" applyBorder="1" applyAlignment="1">
      <alignment horizontal="center" vertical="center"/>
    </xf>
    <xf numFmtId="0" fontId="1" fillId="20" borderId="2" xfId="0" applyFont="1" applyFill="1" applyBorder="1"/>
    <xf numFmtId="0" fontId="6" fillId="7" borderId="5" xfId="0" applyFont="1" applyFill="1" applyBorder="1" applyAlignment="1">
      <alignment horizontal="center" vertical="center" wrapText="1"/>
    </xf>
    <xf numFmtId="0" fontId="6" fillId="7" borderId="0" xfId="0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 vertical="center" wrapText="1"/>
    </xf>
    <xf numFmtId="164" fontId="7" fillId="2" borderId="7" xfId="0" applyNumberFormat="1" applyFont="1" applyFill="1" applyBorder="1" applyAlignment="1">
      <alignment horizontal="center" vertical="center" wrapText="1"/>
    </xf>
    <xf numFmtId="164" fontId="7" fillId="2" borderId="8" xfId="0" applyNumberFormat="1" applyFont="1" applyFill="1" applyBorder="1" applyAlignment="1">
      <alignment horizontal="center" vertical="center" wrapText="1"/>
    </xf>
    <xf numFmtId="164" fontId="7" fillId="2" borderId="9" xfId="0" applyNumberFormat="1" applyFont="1" applyFill="1" applyBorder="1" applyAlignment="1">
      <alignment horizontal="center" vertical="center" wrapText="1"/>
    </xf>
    <xf numFmtId="164" fontId="7" fillId="2" borderId="10" xfId="0" applyNumberFormat="1" applyFont="1" applyFill="1" applyBorder="1" applyAlignment="1">
      <alignment horizontal="center" vertical="center" wrapText="1"/>
    </xf>
    <xf numFmtId="164" fontId="7" fillId="2" borderId="11" xfId="0" applyNumberFormat="1" applyFont="1" applyFill="1" applyBorder="1" applyAlignment="1">
      <alignment horizontal="center" vertical="center" wrapText="1"/>
    </xf>
    <xf numFmtId="164" fontId="7" fillId="2" borderId="12" xfId="0" applyNumberFormat="1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18" fillId="21" borderId="1" xfId="0" applyFont="1" applyFill="1" applyBorder="1" applyAlignment="1">
      <alignment horizontal="center" vertical="center" wrapText="1"/>
    </xf>
    <xf numFmtId="9" fontId="19" fillId="21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85">
    <dxf>
      <fill>
        <patternFill>
          <bgColor rgb="FFEAEDFC"/>
        </patternFill>
      </fill>
    </dxf>
    <dxf>
      <fill>
        <patternFill>
          <bgColor rgb="FFFDFCFF"/>
        </patternFill>
      </fill>
    </dxf>
    <dxf>
      <fill>
        <patternFill>
          <bgColor rgb="FFC84C2B"/>
        </patternFill>
      </fill>
    </dxf>
    <dxf>
      <fill>
        <patternFill>
          <bgColor rgb="FFD8732C"/>
        </patternFill>
      </fill>
    </dxf>
    <dxf>
      <fill>
        <patternFill>
          <bgColor rgb="FFE89B2E"/>
        </patternFill>
      </fill>
    </dxf>
    <dxf>
      <fill>
        <patternFill>
          <bgColor rgb="FFA49441"/>
        </patternFill>
      </fill>
    </dxf>
    <dxf>
      <fill>
        <patternFill>
          <bgColor rgb="FF608D55"/>
        </patternFill>
      </fill>
    </dxf>
    <dxf>
      <fill>
        <patternFill>
          <bgColor rgb="FFEAEDFC"/>
        </patternFill>
      </fill>
    </dxf>
    <dxf>
      <fill>
        <patternFill>
          <bgColor rgb="FFFDFCFF"/>
        </patternFill>
      </fill>
    </dxf>
    <dxf>
      <fill>
        <patternFill>
          <bgColor rgb="FFC84C2B"/>
        </patternFill>
      </fill>
    </dxf>
    <dxf>
      <fill>
        <patternFill>
          <bgColor rgb="FFD8732C"/>
        </patternFill>
      </fill>
    </dxf>
    <dxf>
      <fill>
        <patternFill>
          <bgColor rgb="FFE89B2E"/>
        </patternFill>
      </fill>
    </dxf>
    <dxf>
      <fill>
        <patternFill>
          <bgColor rgb="FFA49441"/>
        </patternFill>
      </fill>
    </dxf>
    <dxf>
      <fill>
        <patternFill>
          <bgColor rgb="FF608D55"/>
        </patternFill>
      </fill>
    </dxf>
    <dxf>
      <fill>
        <patternFill>
          <bgColor rgb="FFEAEDFC"/>
        </patternFill>
      </fill>
    </dxf>
    <dxf>
      <fill>
        <patternFill>
          <bgColor rgb="FFFDFCFF"/>
        </patternFill>
      </fill>
    </dxf>
    <dxf>
      <fill>
        <patternFill>
          <bgColor rgb="FFC84C2B"/>
        </patternFill>
      </fill>
    </dxf>
    <dxf>
      <fill>
        <patternFill>
          <bgColor rgb="FFD8732C"/>
        </patternFill>
      </fill>
    </dxf>
    <dxf>
      <fill>
        <patternFill>
          <bgColor rgb="FFE89B2E"/>
        </patternFill>
      </fill>
    </dxf>
    <dxf>
      <fill>
        <patternFill>
          <bgColor rgb="FFA49441"/>
        </patternFill>
      </fill>
    </dxf>
    <dxf>
      <fill>
        <patternFill>
          <bgColor rgb="FF608D55"/>
        </patternFill>
      </fill>
    </dxf>
    <dxf>
      <fill>
        <patternFill>
          <bgColor rgb="FFEAEDFC"/>
        </patternFill>
      </fill>
    </dxf>
    <dxf>
      <fill>
        <patternFill>
          <bgColor rgb="FFFDFCFF"/>
        </patternFill>
      </fill>
    </dxf>
    <dxf>
      <fill>
        <patternFill>
          <bgColor rgb="FFC84C2B"/>
        </patternFill>
      </fill>
    </dxf>
    <dxf>
      <fill>
        <patternFill>
          <bgColor rgb="FFD8732C"/>
        </patternFill>
      </fill>
    </dxf>
    <dxf>
      <fill>
        <patternFill>
          <bgColor rgb="FFE89B2E"/>
        </patternFill>
      </fill>
    </dxf>
    <dxf>
      <fill>
        <patternFill>
          <bgColor rgb="FFA49441"/>
        </patternFill>
      </fill>
    </dxf>
    <dxf>
      <fill>
        <patternFill>
          <bgColor rgb="FF608D55"/>
        </patternFill>
      </fill>
    </dxf>
    <dxf>
      <fill>
        <patternFill>
          <bgColor rgb="FFEAEDFC"/>
        </patternFill>
      </fill>
    </dxf>
    <dxf>
      <fill>
        <patternFill>
          <bgColor rgb="FFFDFCFF"/>
        </patternFill>
      </fill>
    </dxf>
    <dxf>
      <fill>
        <patternFill>
          <bgColor rgb="FFC84C2B"/>
        </patternFill>
      </fill>
    </dxf>
    <dxf>
      <fill>
        <patternFill>
          <bgColor rgb="FFD8732C"/>
        </patternFill>
      </fill>
    </dxf>
    <dxf>
      <fill>
        <patternFill>
          <bgColor rgb="FFE89B2E"/>
        </patternFill>
      </fill>
    </dxf>
    <dxf>
      <fill>
        <patternFill>
          <bgColor rgb="FFA49441"/>
        </patternFill>
      </fill>
    </dxf>
    <dxf>
      <fill>
        <patternFill>
          <bgColor rgb="FF608D55"/>
        </patternFill>
      </fill>
    </dxf>
    <dxf>
      <fill>
        <patternFill>
          <bgColor rgb="FFEAEDFC"/>
        </patternFill>
      </fill>
    </dxf>
    <dxf>
      <fill>
        <patternFill>
          <bgColor rgb="FFFDFCFF"/>
        </patternFill>
      </fill>
    </dxf>
    <dxf>
      <fill>
        <patternFill>
          <bgColor rgb="FFC84C2B"/>
        </patternFill>
      </fill>
    </dxf>
    <dxf>
      <fill>
        <patternFill>
          <bgColor rgb="FFD8732C"/>
        </patternFill>
      </fill>
    </dxf>
    <dxf>
      <fill>
        <patternFill>
          <bgColor rgb="FFE89B2E"/>
        </patternFill>
      </fill>
    </dxf>
    <dxf>
      <fill>
        <patternFill>
          <bgColor rgb="FFA49441"/>
        </patternFill>
      </fill>
    </dxf>
    <dxf>
      <fill>
        <patternFill>
          <bgColor rgb="FF608D55"/>
        </patternFill>
      </fill>
    </dxf>
    <dxf>
      <fill>
        <patternFill>
          <bgColor rgb="FFEAEDFC"/>
        </patternFill>
      </fill>
    </dxf>
    <dxf>
      <fill>
        <patternFill>
          <bgColor rgb="FFFDFCFF"/>
        </patternFill>
      </fill>
    </dxf>
    <dxf>
      <fill>
        <patternFill>
          <bgColor rgb="FFC84C2B"/>
        </patternFill>
      </fill>
    </dxf>
    <dxf>
      <fill>
        <patternFill>
          <bgColor rgb="FFD8732C"/>
        </patternFill>
      </fill>
    </dxf>
    <dxf>
      <fill>
        <patternFill>
          <bgColor rgb="FFE89B2E"/>
        </patternFill>
      </fill>
    </dxf>
    <dxf>
      <fill>
        <patternFill>
          <bgColor rgb="FFA49441"/>
        </patternFill>
      </fill>
    </dxf>
    <dxf>
      <fill>
        <patternFill>
          <bgColor rgb="FF608D55"/>
        </patternFill>
      </fill>
    </dxf>
    <dxf>
      <fill>
        <patternFill>
          <bgColor rgb="FFEAEDFC"/>
        </patternFill>
      </fill>
    </dxf>
    <dxf>
      <fill>
        <patternFill>
          <bgColor rgb="FFFDFCFF"/>
        </patternFill>
      </fill>
    </dxf>
    <dxf>
      <fill>
        <patternFill>
          <bgColor rgb="FFC84C2B"/>
        </patternFill>
      </fill>
    </dxf>
    <dxf>
      <fill>
        <patternFill>
          <bgColor rgb="FFD8732C"/>
        </patternFill>
      </fill>
    </dxf>
    <dxf>
      <fill>
        <patternFill>
          <bgColor rgb="FFE89B2E"/>
        </patternFill>
      </fill>
    </dxf>
    <dxf>
      <fill>
        <patternFill>
          <bgColor rgb="FFA49441"/>
        </patternFill>
      </fill>
    </dxf>
    <dxf>
      <fill>
        <patternFill>
          <bgColor rgb="FF608D55"/>
        </patternFill>
      </fill>
    </dxf>
    <dxf>
      <fill>
        <patternFill>
          <bgColor rgb="FFEAEDFC"/>
        </patternFill>
      </fill>
    </dxf>
    <dxf>
      <fill>
        <patternFill>
          <bgColor rgb="FFFDFCFF"/>
        </patternFill>
      </fill>
    </dxf>
    <dxf>
      <fill>
        <patternFill>
          <bgColor rgb="FFC84C2B"/>
        </patternFill>
      </fill>
    </dxf>
    <dxf>
      <fill>
        <patternFill>
          <bgColor rgb="FFD8732C"/>
        </patternFill>
      </fill>
    </dxf>
    <dxf>
      <fill>
        <patternFill>
          <bgColor rgb="FFE89B2E"/>
        </patternFill>
      </fill>
    </dxf>
    <dxf>
      <fill>
        <patternFill>
          <bgColor rgb="FFA49441"/>
        </patternFill>
      </fill>
    </dxf>
    <dxf>
      <fill>
        <patternFill>
          <bgColor rgb="FF608D55"/>
        </patternFill>
      </fill>
    </dxf>
    <dxf>
      <fill>
        <patternFill>
          <bgColor rgb="FFEAEDFC"/>
        </patternFill>
      </fill>
    </dxf>
    <dxf>
      <fill>
        <patternFill>
          <bgColor rgb="FFFDFCFF"/>
        </patternFill>
      </fill>
    </dxf>
    <dxf>
      <fill>
        <patternFill>
          <bgColor rgb="FFC84C2B"/>
        </patternFill>
      </fill>
    </dxf>
    <dxf>
      <fill>
        <patternFill>
          <bgColor rgb="FFD8732C"/>
        </patternFill>
      </fill>
    </dxf>
    <dxf>
      <fill>
        <patternFill>
          <bgColor rgb="FFE89B2E"/>
        </patternFill>
      </fill>
    </dxf>
    <dxf>
      <fill>
        <patternFill>
          <bgColor rgb="FFA49441"/>
        </patternFill>
      </fill>
    </dxf>
    <dxf>
      <fill>
        <patternFill>
          <bgColor rgb="FF608D55"/>
        </patternFill>
      </fill>
    </dxf>
    <dxf>
      <fill>
        <patternFill>
          <bgColor rgb="FFEAEDFC"/>
        </patternFill>
      </fill>
    </dxf>
    <dxf>
      <fill>
        <patternFill>
          <bgColor rgb="FFFDFCFF"/>
        </patternFill>
      </fill>
    </dxf>
    <dxf>
      <fill>
        <patternFill>
          <bgColor rgb="FFC84C2B"/>
        </patternFill>
      </fill>
    </dxf>
    <dxf>
      <fill>
        <patternFill>
          <bgColor rgb="FFD8732C"/>
        </patternFill>
      </fill>
    </dxf>
    <dxf>
      <fill>
        <patternFill>
          <bgColor rgb="FFE89B2E"/>
        </patternFill>
      </fill>
    </dxf>
    <dxf>
      <fill>
        <patternFill>
          <bgColor rgb="FFA49441"/>
        </patternFill>
      </fill>
    </dxf>
    <dxf>
      <fill>
        <patternFill>
          <bgColor rgb="FF608D55"/>
        </patternFill>
      </fill>
    </dxf>
    <dxf>
      <fill>
        <patternFill>
          <bgColor rgb="FFEAEDFC"/>
        </patternFill>
      </fill>
    </dxf>
    <dxf>
      <fill>
        <patternFill>
          <bgColor rgb="FFFDFCFF"/>
        </patternFill>
      </fill>
    </dxf>
    <dxf>
      <fill>
        <patternFill>
          <bgColor rgb="FFC84C2B"/>
        </patternFill>
      </fill>
    </dxf>
    <dxf>
      <fill>
        <patternFill>
          <bgColor rgb="FFD8732C"/>
        </patternFill>
      </fill>
    </dxf>
    <dxf>
      <fill>
        <patternFill>
          <bgColor rgb="FFE89B2E"/>
        </patternFill>
      </fill>
    </dxf>
    <dxf>
      <fill>
        <patternFill>
          <bgColor rgb="FFA49441"/>
        </patternFill>
      </fill>
    </dxf>
    <dxf>
      <fill>
        <patternFill>
          <bgColor rgb="FF608D55"/>
        </patternFill>
      </fill>
    </dxf>
    <dxf>
      <fill>
        <patternFill>
          <bgColor rgb="FFC0392B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D0602C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A49441"/>
      <rgbColor rgb="FF800080"/>
      <rgbColor rgb="FF3F7E4F"/>
      <rgbColor rgb="FFB9772B"/>
      <rgbColor rgb="FF608D55"/>
      <rgbColor rgb="FFADA5F0"/>
      <rgbColor rgb="FFC0392B"/>
      <rgbColor rgb="FFFDF4E7"/>
      <rgbColor rgb="FFE5F1ED"/>
      <rgbColor rgb="FF660066"/>
      <rgbColor rgb="FFC8893A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FF5FF"/>
      <rgbColor rgb="FFEAEDFC"/>
      <rgbColor rgb="FFFDFCFF"/>
      <rgbColor rgb="FF99CCFF"/>
      <rgbColor rgb="FFD56D2C"/>
      <rgbColor rgb="FFD46A2C"/>
      <rgbColor rgb="FFFFCC99"/>
      <rgbColor rgb="FF3366FF"/>
      <rgbColor rgb="FF33CCCC"/>
      <rgbColor rgb="FFC69737"/>
      <rgbColor rgb="FFDAAC44"/>
      <rgbColor rgb="FFE89B2E"/>
      <rgbColor rgb="FFD8732C"/>
      <rgbColor rgb="FF666666"/>
      <rgbColor rgb="FF939246"/>
      <rgbColor rgb="FF003366"/>
      <rgbColor rgb="FF3F8A5F"/>
      <rgbColor rgb="FF003300"/>
      <rgbColor rgb="FF333300"/>
      <rgbColor rgb="FFA9372C"/>
      <rgbColor rgb="FFC84C2B"/>
      <rgbColor rgb="FF555555"/>
      <rgbColor rgb="FF13193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31934"/>
    <pageSetUpPr fitToPage="1"/>
  </sheetPr>
  <dimension ref="A1:T28"/>
  <sheetViews>
    <sheetView showGridLines="0" tabSelected="1" zoomScaleNormal="100" workbookViewId="0">
      <pane ySplit="13" topLeftCell="A14" activePane="bottomLeft" state="frozen"/>
      <selection pane="bottomLeft" activeCell="Y16" sqref="Y16"/>
    </sheetView>
  </sheetViews>
  <sheetFormatPr baseColWidth="10" defaultColWidth="8.6328125" defaultRowHeight="14" x14ac:dyDescent="0.3"/>
  <cols>
    <col min="1" max="1" width="11" style="3" customWidth="1"/>
    <col min="2" max="2" width="5" style="3" customWidth="1"/>
    <col min="3" max="3" width="28" style="3" customWidth="1"/>
    <col min="4" max="4" width="14" style="3" customWidth="1"/>
    <col min="5" max="5" width="10" style="3" customWidth="1"/>
    <col min="6" max="6" width="7" style="3" customWidth="1"/>
    <col min="7" max="7" width="4.26953125" style="3" customWidth="1"/>
    <col min="8" max="8" width="6.1796875" style="3" customWidth="1"/>
    <col min="9" max="9" width="4.26953125" style="3" customWidth="1"/>
    <col min="10" max="10" width="5.36328125" style="3" customWidth="1"/>
    <col min="11" max="17" width="4.26953125" style="3" customWidth="1"/>
    <col min="18" max="18" width="9.1796875" style="3" customWidth="1"/>
    <col min="19" max="19" width="32" style="3" customWidth="1"/>
    <col min="20" max="20" width="12" style="3" customWidth="1"/>
    <col min="21" max="16384" width="8.6328125" style="3"/>
  </cols>
  <sheetData>
    <row r="1" spans="1:20" ht="21.75" customHeight="1" x14ac:dyDescent="0.3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0" ht="13.5" customHeight="1" x14ac:dyDescent="0.3">
      <c r="A2" s="1"/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0" ht="7.5" customHeight="1" x14ac:dyDescent="0.3">
      <c r="A3" s="1"/>
      <c r="B3" s="4" t="s">
        <v>1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</row>
    <row r="4" spans="1:20" ht="19.5" customHeight="1" x14ac:dyDescent="0.3">
      <c r="A4" s="1"/>
      <c r="B4" s="1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</row>
    <row r="5" spans="1:20" ht="3.75" customHeight="1" x14ac:dyDescent="0.3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spans="1:20" ht="3.75" customHeight="1" x14ac:dyDescent="0.3"/>
    <row r="7" spans="1:20" ht="18" customHeight="1" x14ac:dyDescent="0.3">
      <c r="A7" s="64" t="s">
        <v>2</v>
      </c>
      <c r="B7" s="65"/>
      <c r="C7" s="66"/>
      <c r="D7" s="6" t="s">
        <v>3</v>
      </c>
      <c r="E7" s="6"/>
      <c r="F7" s="6"/>
      <c r="G7" s="7" t="s">
        <v>4</v>
      </c>
      <c r="H7" s="7"/>
      <c r="I7" s="8" t="s">
        <v>5</v>
      </c>
      <c r="J7" s="8"/>
      <c r="K7" s="9" t="s">
        <v>6</v>
      </c>
      <c r="L7" s="9"/>
      <c r="M7" s="55" t="s">
        <v>7</v>
      </c>
      <c r="N7" s="56"/>
      <c r="O7" s="56"/>
      <c r="P7" s="56"/>
      <c r="Q7" s="56"/>
      <c r="R7" s="57"/>
      <c r="S7" s="70" t="s">
        <v>8</v>
      </c>
      <c r="T7" s="70"/>
    </row>
    <row r="8" spans="1:20" ht="9" customHeight="1" x14ac:dyDescent="0.3">
      <c r="A8" s="67"/>
      <c r="B8" s="68"/>
      <c r="C8" s="69"/>
      <c r="D8" s="6"/>
      <c r="E8" s="6"/>
      <c r="F8" s="6"/>
      <c r="G8" s="7"/>
      <c r="H8" s="7"/>
      <c r="I8" s="8"/>
      <c r="J8" s="8"/>
      <c r="K8" s="9"/>
      <c r="L8" s="9"/>
      <c r="M8" s="55"/>
      <c r="N8" s="56"/>
      <c r="O8" s="56"/>
      <c r="P8" s="56"/>
      <c r="Q8" s="56"/>
      <c r="R8" s="57"/>
      <c r="S8" s="70"/>
      <c r="T8" s="70"/>
    </row>
    <row r="9" spans="1:20" ht="18" customHeight="1" x14ac:dyDescent="0.3">
      <c r="A9" s="58">
        <f ca="1">TODAY()</f>
        <v>46200</v>
      </c>
      <c r="B9" s="59"/>
      <c r="C9" s="60"/>
      <c r="D9" s="10">
        <f>COUNTA(C14:C200)</f>
        <v>15</v>
      </c>
      <c r="E9" s="10"/>
      <c r="F9" s="10"/>
      <c r="G9" s="11">
        <f>COUNTIF(T14:T200,"En attente")</f>
        <v>0</v>
      </c>
      <c r="H9" s="11"/>
      <c r="I9" s="12">
        <f>COUNTIF(T14:T200,"En cours")</f>
        <v>11</v>
      </c>
      <c r="J9" s="12"/>
      <c r="K9" s="13">
        <f>COUNTIF(T14:T200,"Terminé")</f>
        <v>4</v>
      </c>
      <c r="L9" s="13"/>
      <c r="M9" s="55"/>
      <c r="N9" s="56"/>
      <c r="O9" s="56"/>
      <c r="P9" s="56"/>
      <c r="Q9" s="56"/>
      <c r="R9" s="57"/>
      <c r="S9" s="71">
        <f>IFERROR(AVERAGE(F14:F200),0)</f>
        <v>0.53800000000000003</v>
      </c>
      <c r="T9" s="71"/>
    </row>
    <row r="10" spans="1:20" ht="7.5" customHeight="1" x14ac:dyDescent="0.3">
      <c r="A10" s="61"/>
      <c r="B10" s="62"/>
      <c r="C10" s="63"/>
      <c r="D10" s="10"/>
      <c r="E10" s="10"/>
      <c r="F10" s="10"/>
      <c r="G10" s="11"/>
      <c r="H10" s="11"/>
      <c r="I10" s="12"/>
      <c r="J10" s="12"/>
      <c r="K10" s="13"/>
      <c r="L10" s="13"/>
      <c r="M10" s="55"/>
      <c r="N10" s="56"/>
      <c r="O10" s="56"/>
      <c r="P10" s="56"/>
      <c r="Q10" s="56"/>
      <c r="R10" s="57"/>
      <c r="S10" s="71"/>
      <c r="T10" s="71"/>
    </row>
    <row r="11" spans="1:20" ht="3.5" customHeight="1" x14ac:dyDescent="0.3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</row>
    <row r="12" spans="1:20" ht="3.75" customHeight="1" x14ac:dyDescent="0.3"/>
    <row r="13" spans="1:20" ht="24" customHeight="1" x14ac:dyDescent="0.3">
      <c r="A13" s="14" t="s">
        <v>9</v>
      </c>
      <c r="B13" s="14"/>
      <c r="C13" s="15" t="s">
        <v>10</v>
      </c>
      <c r="D13" s="15" t="s">
        <v>11</v>
      </c>
      <c r="E13" s="15" t="s">
        <v>12</v>
      </c>
      <c r="F13" s="15" t="s">
        <v>13</v>
      </c>
      <c r="G13" s="14" t="s">
        <v>14</v>
      </c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5" t="s">
        <v>15</v>
      </c>
      <c r="T13" s="15" t="s">
        <v>16</v>
      </c>
    </row>
    <row r="14" spans="1:20" ht="30" customHeight="1" x14ac:dyDescent="0.3">
      <c r="A14" s="16">
        <v>1</v>
      </c>
      <c r="B14" s="16"/>
      <c r="C14" s="17" t="s">
        <v>17</v>
      </c>
      <c r="D14" s="18" t="s">
        <v>18</v>
      </c>
      <c r="E14" s="19" t="s">
        <v>19</v>
      </c>
      <c r="F14" s="20">
        <v>1</v>
      </c>
      <c r="G14" s="21"/>
      <c r="H14" s="22"/>
      <c r="I14" s="22"/>
      <c r="J14" s="22"/>
      <c r="K14" s="22"/>
      <c r="L14" s="22"/>
      <c r="M14" s="22"/>
      <c r="N14" s="23"/>
      <c r="O14" s="23"/>
      <c r="P14" s="23"/>
      <c r="Q14" s="23"/>
      <c r="R14" s="24">
        <f t="shared" ref="R14:R28" si="0">F14</f>
        <v>1</v>
      </c>
      <c r="S14" s="25" t="s">
        <v>20</v>
      </c>
      <c r="T14" s="26" t="s">
        <v>21</v>
      </c>
    </row>
    <row r="15" spans="1:20" ht="30" customHeight="1" x14ac:dyDescent="0.3">
      <c r="A15" s="27">
        <v>2</v>
      </c>
      <c r="B15" s="27"/>
      <c r="C15" s="28" t="s">
        <v>22</v>
      </c>
      <c r="D15" s="29" t="s">
        <v>23</v>
      </c>
      <c r="E15" s="30" t="s">
        <v>24</v>
      </c>
      <c r="F15" s="31">
        <v>0.2</v>
      </c>
      <c r="G15" s="32"/>
      <c r="H15" s="33"/>
      <c r="I15" s="34"/>
      <c r="J15" s="34"/>
      <c r="K15" s="34"/>
      <c r="L15" s="34"/>
      <c r="M15" s="34"/>
      <c r="N15" s="34"/>
      <c r="O15" s="34"/>
      <c r="P15" s="34"/>
      <c r="Q15" s="34"/>
      <c r="R15" s="35">
        <f t="shared" si="0"/>
        <v>0.2</v>
      </c>
      <c r="S15" s="36" t="s">
        <v>25</v>
      </c>
      <c r="T15" s="26" t="s">
        <v>21</v>
      </c>
    </row>
    <row r="16" spans="1:20" ht="30" customHeight="1" x14ac:dyDescent="0.3">
      <c r="A16" s="16">
        <v>3</v>
      </c>
      <c r="B16" s="16"/>
      <c r="C16" s="17" t="s">
        <v>26</v>
      </c>
      <c r="D16" s="18" t="s">
        <v>27</v>
      </c>
      <c r="E16" s="19" t="s">
        <v>19</v>
      </c>
      <c r="F16" s="20">
        <v>1</v>
      </c>
      <c r="G16" s="37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9">
        <f t="shared" si="0"/>
        <v>1</v>
      </c>
      <c r="S16" s="25" t="s">
        <v>28</v>
      </c>
      <c r="T16" s="40" t="s">
        <v>29</v>
      </c>
    </row>
    <row r="17" spans="1:20" ht="30" customHeight="1" x14ac:dyDescent="0.3">
      <c r="A17" s="27">
        <v>4</v>
      </c>
      <c r="B17" s="27"/>
      <c r="C17" s="28" t="s">
        <v>30</v>
      </c>
      <c r="D17" s="29" t="s">
        <v>31</v>
      </c>
      <c r="E17" s="41" t="s">
        <v>32</v>
      </c>
      <c r="F17" s="31">
        <v>0</v>
      </c>
      <c r="G17" s="42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5">
        <f t="shared" si="0"/>
        <v>0</v>
      </c>
      <c r="S17" s="36" t="s">
        <v>33</v>
      </c>
      <c r="T17" s="26" t="s">
        <v>21</v>
      </c>
    </row>
    <row r="18" spans="1:20" ht="30" customHeight="1" x14ac:dyDescent="0.3">
      <c r="A18" s="16">
        <v>5</v>
      </c>
      <c r="B18" s="16"/>
      <c r="C18" s="17" t="s">
        <v>34</v>
      </c>
      <c r="D18" s="18" t="s">
        <v>35</v>
      </c>
      <c r="E18" s="43" t="s">
        <v>32</v>
      </c>
      <c r="F18" s="20">
        <v>0.75</v>
      </c>
      <c r="G18" s="44"/>
      <c r="H18" s="45"/>
      <c r="I18" s="45"/>
      <c r="J18" s="45"/>
      <c r="K18" s="45"/>
      <c r="L18" s="45"/>
      <c r="M18" s="45"/>
      <c r="N18" s="45"/>
      <c r="O18" s="45"/>
      <c r="P18" s="23"/>
      <c r="Q18" s="23"/>
      <c r="R18" s="24">
        <f t="shared" si="0"/>
        <v>0.75</v>
      </c>
      <c r="S18" s="25" t="s">
        <v>36</v>
      </c>
      <c r="T18" s="26" t="s">
        <v>21</v>
      </c>
    </row>
    <row r="19" spans="1:20" ht="30" customHeight="1" x14ac:dyDescent="0.3">
      <c r="A19" s="27">
        <v>6</v>
      </c>
      <c r="B19" s="27"/>
      <c r="C19" s="28" t="s">
        <v>37</v>
      </c>
      <c r="D19" s="29" t="s">
        <v>38</v>
      </c>
      <c r="E19" s="41" t="s">
        <v>32</v>
      </c>
      <c r="F19" s="31">
        <v>0.27</v>
      </c>
      <c r="G19" s="46"/>
      <c r="H19" s="47"/>
      <c r="I19" s="47"/>
      <c r="J19" s="34"/>
      <c r="K19" s="34"/>
      <c r="L19" s="34"/>
      <c r="M19" s="34"/>
      <c r="N19" s="34"/>
      <c r="O19" s="34"/>
      <c r="P19" s="34"/>
      <c r="Q19" s="34"/>
      <c r="R19" s="35">
        <f t="shared" si="0"/>
        <v>0.27</v>
      </c>
      <c r="S19" s="36" t="s">
        <v>39</v>
      </c>
      <c r="T19" s="26" t="s">
        <v>21</v>
      </c>
    </row>
    <row r="20" spans="1:20" ht="30" customHeight="1" x14ac:dyDescent="0.3">
      <c r="A20" s="16">
        <v>7</v>
      </c>
      <c r="B20" s="16"/>
      <c r="C20" s="17" t="s">
        <v>40</v>
      </c>
      <c r="D20" s="18" t="s">
        <v>23</v>
      </c>
      <c r="E20" s="48" t="s">
        <v>24</v>
      </c>
      <c r="F20" s="20">
        <v>1</v>
      </c>
      <c r="G20" s="37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9">
        <f t="shared" si="0"/>
        <v>1</v>
      </c>
      <c r="S20" s="25" t="s">
        <v>41</v>
      </c>
      <c r="T20" s="40" t="s">
        <v>29</v>
      </c>
    </row>
    <row r="21" spans="1:20" ht="30" customHeight="1" x14ac:dyDescent="0.3">
      <c r="A21" s="27">
        <v>8</v>
      </c>
      <c r="B21" s="27"/>
      <c r="C21" s="28" t="s">
        <v>42</v>
      </c>
      <c r="D21" s="29" t="s">
        <v>43</v>
      </c>
      <c r="E21" s="30" t="s">
        <v>24</v>
      </c>
      <c r="F21" s="31">
        <v>0.25</v>
      </c>
      <c r="G21" s="49"/>
      <c r="H21" s="50"/>
      <c r="I21" s="50"/>
      <c r="J21" s="34"/>
      <c r="K21" s="34"/>
      <c r="L21" s="34"/>
      <c r="M21" s="34"/>
      <c r="N21" s="34"/>
      <c r="O21" s="34"/>
      <c r="P21" s="34"/>
      <c r="Q21" s="34"/>
      <c r="R21" s="35">
        <f t="shared" si="0"/>
        <v>0.25</v>
      </c>
      <c r="S21" s="36" t="s">
        <v>44</v>
      </c>
      <c r="T21" s="26" t="s">
        <v>21</v>
      </c>
    </row>
    <row r="22" spans="1:20" ht="30" customHeight="1" x14ac:dyDescent="0.3">
      <c r="A22" s="16">
        <v>9</v>
      </c>
      <c r="B22" s="16"/>
      <c r="C22" s="17" t="s">
        <v>45</v>
      </c>
      <c r="D22" s="18" t="s">
        <v>27</v>
      </c>
      <c r="E22" s="19" t="s">
        <v>19</v>
      </c>
      <c r="F22" s="20">
        <v>0.5</v>
      </c>
      <c r="G22" s="51"/>
      <c r="H22" s="52"/>
      <c r="I22" s="52"/>
      <c r="J22" s="52"/>
      <c r="K22" s="52"/>
      <c r="L22" s="52"/>
      <c r="M22" s="23"/>
      <c r="N22" s="23"/>
      <c r="O22" s="23"/>
      <c r="P22" s="23"/>
      <c r="Q22" s="23"/>
      <c r="R22" s="24">
        <f t="shared" si="0"/>
        <v>0.5</v>
      </c>
      <c r="S22" s="25" t="s">
        <v>46</v>
      </c>
      <c r="T22" s="26" t="s">
        <v>21</v>
      </c>
    </row>
    <row r="23" spans="1:20" ht="30" customHeight="1" x14ac:dyDescent="0.3">
      <c r="A23" s="27">
        <v>10</v>
      </c>
      <c r="B23" s="27"/>
      <c r="C23" s="28" t="s">
        <v>47</v>
      </c>
      <c r="D23" s="29" t="s">
        <v>31</v>
      </c>
      <c r="E23" s="53" t="s">
        <v>19</v>
      </c>
      <c r="F23" s="31">
        <v>0.5</v>
      </c>
      <c r="G23" s="51"/>
      <c r="H23" s="52"/>
      <c r="I23" s="52"/>
      <c r="J23" s="52"/>
      <c r="K23" s="52"/>
      <c r="L23" s="52"/>
      <c r="M23" s="34"/>
      <c r="N23" s="34"/>
      <c r="O23" s="34"/>
      <c r="P23" s="34"/>
      <c r="Q23" s="34"/>
      <c r="R23" s="35">
        <f t="shared" si="0"/>
        <v>0.5</v>
      </c>
      <c r="S23" s="36" t="s">
        <v>48</v>
      </c>
      <c r="T23" s="26" t="s">
        <v>21</v>
      </c>
    </row>
    <row r="24" spans="1:20" ht="30" customHeight="1" x14ac:dyDescent="0.3">
      <c r="A24" s="16">
        <v>11</v>
      </c>
      <c r="B24" s="16"/>
      <c r="C24" s="17" t="s">
        <v>49</v>
      </c>
      <c r="D24" s="18" t="s">
        <v>50</v>
      </c>
      <c r="E24" s="43" t="s">
        <v>32</v>
      </c>
      <c r="F24" s="20">
        <v>0.25</v>
      </c>
      <c r="G24" s="49"/>
      <c r="H24" s="50"/>
      <c r="I24" s="50"/>
      <c r="J24" s="23"/>
      <c r="K24" s="23"/>
      <c r="L24" s="23"/>
      <c r="M24" s="23"/>
      <c r="N24" s="23"/>
      <c r="O24" s="23"/>
      <c r="P24" s="23"/>
      <c r="Q24" s="23"/>
      <c r="R24" s="24">
        <f t="shared" si="0"/>
        <v>0.25</v>
      </c>
      <c r="S24" s="25" t="s">
        <v>51</v>
      </c>
      <c r="T24" s="26" t="s">
        <v>21</v>
      </c>
    </row>
    <row r="25" spans="1:20" ht="30" customHeight="1" x14ac:dyDescent="0.3">
      <c r="A25" s="27">
        <v>12</v>
      </c>
      <c r="B25" s="27"/>
      <c r="C25" s="28" t="s">
        <v>52</v>
      </c>
      <c r="D25" s="29" t="s">
        <v>23</v>
      </c>
      <c r="E25" s="30" t="s">
        <v>24</v>
      </c>
      <c r="F25" s="31">
        <v>1</v>
      </c>
      <c r="G25" s="37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9">
        <f t="shared" si="0"/>
        <v>1</v>
      </c>
      <c r="S25" s="36" t="s">
        <v>53</v>
      </c>
      <c r="T25" s="40" t="s">
        <v>29</v>
      </c>
    </row>
    <row r="26" spans="1:20" ht="30" customHeight="1" x14ac:dyDescent="0.3">
      <c r="A26" s="16">
        <v>13</v>
      </c>
      <c r="B26" s="16"/>
      <c r="C26" s="17" t="s">
        <v>54</v>
      </c>
      <c r="D26" s="18" t="s">
        <v>55</v>
      </c>
      <c r="E26" s="48" t="s">
        <v>24</v>
      </c>
      <c r="F26" s="20">
        <v>1</v>
      </c>
      <c r="G26" s="37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9">
        <f t="shared" si="0"/>
        <v>1</v>
      </c>
      <c r="S26" s="25" t="s">
        <v>56</v>
      </c>
      <c r="T26" s="40" t="s">
        <v>29</v>
      </c>
    </row>
    <row r="27" spans="1:20" ht="30" customHeight="1" x14ac:dyDescent="0.3">
      <c r="A27" s="27">
        <v>14</v>
      </c>
      <c r="B27" s="27"/>
      <c r="C27" s="28" t="s">
        <v>57</v>
      </c>
      <c r="D27" s="29" t="s">
        <v>35</v>
      </c>
      <c r="E27" s="41" t="s">
        <v>32</v>
      </c>
      <c r="F27" s="31">
        <v>0.25</v>
      </c>
      <c r="G27" s="49"/>
      <c r="H27" s="50"/>
      <c r="I27" s="50"/>
      <c r="J27" s="34"/>
      <c r="K27" s="34"/>
      <c r="L27" s="34"/>
      <c r="M27" s="34"/>
      <c r="N27" s="34"/>
      <c r="O27" s="34"/>
      <c r="P27" s="34"/>
      <c r="Q27" s="34"/>
      <c r="R27" s="35">
        <f t="shared" si="0"/>
        <v>0.25</v>
      </c>
      <c r="S27" s="36" t="s">
        <v>58</v>
      </c>
      <c r="T27" s="26" t="s">
        <v>21</v>
      </c>
    </row>
    <row r="28" spans="1:20" ht="30" customHeight="1" x14ac:dyDescent="0.3">
      <c r="A28" s="16">
        <v>15</v>
      </c>
      <c r="B28" s="16"/>
      <c r="C28" s="17" t="s">
        <v>59</v>
      </c>
      <c r="D28" s="18" t="s">
        <v>31</v>
      </c>
      <c r="E28" s="19" t="s">
        <v>19</v>
      </c>
      <c r="F28" s="20">
        <v>0.1</v>
      </c>
      <c r="G28" s="54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4">
        <f t="shared" si="0"/>
        <v>0.1</v>
      </c>
      <c r="S28" s="25" t="s">
        <v>60</v>
      </c>
      <c r="T28" s="26" t="s">
        <v>21</v>
      </c>
    </row>
  </sheetData>
  <mergeCells count="33">
    <mergeCell ref="A27:B27"/>
    <mergeCell ref="A28:B28"/>
    <mergeCell ref="M7:R10"/>
    <mergeCell ref="A22:B22"/>
    <mergeCell ref="A23:B23"/>
    <mergeCell ref="A24:B24"/>
    <mergeCell ref="A25:B25"/>
    <mergeCell ref="A26:B26"/>
    <mergeCell ref="A17:B17"/>
    <mergeCell ref="A18:B18"/>
    <mergeCell ref="A19:B19"/>
    <mergeCell ref="A20:B20"/>
    <mergeCell ref="A21:B21"/>
    <mergeCell ref="A13:B13"/>
    <mergeCell ref="G13:R13"/>
    <mergeCell ref="A14:B14"/>
    <mergeCell ref="A15:B15"/>
    <mergeCell ref="A16:B16"/>
    <mergeCell ref="A1:A4"/>
    <mergeCell ref="B1:T2"/>
    <mergeCell ref="B3:T4"/>
    <mergeCell ref="A7:C8"/>
    <mergeCell ref="D7:F8"/>
    <mergeCell ref="G7:H8"/>
    <mergeCell ref="I7:J8"/>
    <mergeCell ref="K7:L8"/>
    <mergeCell ref="S7:T8"/>
    <mergeCell ref="A9:C10"/>
    <mergeCell ref="D9:F10"/>
    <mergeCell ref="G9:H10"/>
    <mergeCell ref="I9:J10"/>
    <mergeCell ref="K9:L10"/>
    <mergeCell ref="S9:T10"/>
  </mergeCells>
  <conditionalFormatting sqref="G14:G28">
    <cfRule type="expression" dxfId="84" priority="2">
      <formula>$F14&lt;0.0833333333333333</formula>
    </cfRule>
    <cfRule type="expression" dxfId="83" priority="3">
      <formula>AND($F14&gt;=(0.0833333333333333-0.0001),$F14&gt;=0.8-0.0001)</formula>
    </cfRule>
    <cfRule type="expression" dxfId="82" priority="4">
      <formula>AND($F14&gt;=(0.0833333333333333-0.0001),$F14&gt;=0.6-0.0001,$F14&lt;0.8+0.0001)</formula>
    </cfRule>
    <cfRule type="expression" dxfId="81" priority="5">
      <formula>AND($F14&gt;=(0.0833333333333333-0.0001),$F14&gt;=0.4-0.0001,$F14&lt;0.6+0.0001)</formula>
    </cfRule>
    <cfRule type="expression" dxfId="80" priority="6">
      <formula>AND($F14&gt;=(0.0833333333333333-0.0001),$F14&gt;=0.2-0.0001,$F14&lt;0.4+0.0001)</formula>
    </cfRule>
    <cfRule type="expression" dxfId="79" priority="7">
      <formula>AND($F14&gt;=(0.0833333333333333-0.0001),$F14&gt;=0-0.0001,$F14&lt;0.2+0.0001)</formula>
    </cfRule>
    <cfRule type="expression" dxfId="78" priority="8">
      <formula>AND($F14&lt;0.0833333333333333,MOD(ROW()-14,2)=0)</formula>
    </cfRule>
    <cfRule type="expression" dxfId="77" priority="9">
      <formula>AND($F14&lt;0.0833333333333333,MOD(ROW()-14,2)=1)</formula>
    </cfRule>
  </conditionalFormatting>
  <conditionalFormatting sqref="H14:H28">
    <cfRule type="expression" dxfId="76" priority="10">
      <formula>AND($F14&gt;=(0.166666666666667-0.0001),$F14&gt;=0.8-0.0001)</formula>
    </cfRule>
    <cfRule type="expression" dxfId="75" priority="11">
      <formula>AND($F14&gt;=(0.166666666666667-0.0001),$F14&gt;=0.6-0.0001,$F14&lt;0.8+0.0001)</formula>
    </cfRule>
    <cfRule type="expression" dxfId="74" priority="12">
      <formula>AND($F14&gt;=(0.166666666666667-0.0001),$F14&gt;=0.4-0.0001,$F14&lt;0.6+0.0001)</formula>
    </cfRule>
    <cfRule type="expression" dxfId="73" priority="13">
      <formula>AND($F14&gt;=(0.166666666666667-0.0001),$F14&gt;=0.2-0.0001,$F14&lt;0.4+0.0001)</formula>
    </cfRule>
    <cfRule type="expression" dxfId="72" priority="14">
      <formula>AND($F14&gt;=(0.166666666666667-0.0001),$F14&gt;=0-0.0001,$F14&lt;0.2+0.0001)</formula>
    </cfRule>
    <cfRule type="expression" dxfId="71" priority="15">
      <formula>AND($F14&lt;0.166666666666667,MOD(ROW()-14,2)=0)</formula>
    </cfRule>
    <cfRule type="expression" dxfId="70" priority="16">
      <formula>AND($F14&lt;0.166666666666667,MOD(ROW()-14,2)=1)</formula>
    </cfRule>
  </conditionalFormatting>
  <conditionalFormatting sqref="I14:I28">
    <cfRule type="expression" dxfId="69" priority="17">
      <formula>AND($F14&gt;=(0.25-0.0001),$F14&gt;=0.8-0.0001)</formula>
    </cfRule>
    <cfRule type="expression" dxfId="68" priority="18">
      <formula>AND($F14&gt;=(0.25-0.0001),$F14&gt;=0.6-0.0001,$F14&lt;0.8+0.0001)</formula>
    </cfRule>
    <cfRule type="expression" dxfId="67" priority="19">
      <formula>AND($F14&gt;=(0.25-0.0001),$F14&gt;=0.4-0.0001,$F14&lt;0.6+0.0001)</formula>
    </cfRule>
    <cfRule type="expression" dxfId="66" priority="20">
      <formula>AND($F14&gt;=(0.25-0.0001),$F14&gt;=0.2-0.0001,$F14&lt;0.4+0.0001)</formula>
    </cfRule>
    <cfRule type="expression" dxfId="65" priority="21">
      <formula>AND($F14&gt;=(0.25-0.0001),$F14&gt;=0-0.0001,$F14&lt;0.2+0.0001)</formula>
    </cfRule>
    <cfRule type="expression" dxfId="64" priority="22">
      <formula>AND($F14&lt;0.25,MOD(ROW()-14,2)=0)</formula>
    </cfRule>
    <cfRule type="expression" dxfId="63" priority="23">
      <formula>AND($F14&lt;0.25,MOD(ROW()-14,2)=1)</formula>
    </cfRule>
  </conditionalFormatting>
  <conditionalFormatting sqref="J14:J28">
    <cfRule type="expression" dxfId="62" priority="24">
      <formula>AND($F14&gt;=(0.333333333333333-0.0001),$F14&gt;=0.8-0.0001)</formula>
    </cfRule>
    <cfRule type="expression" dxfId="61" priority="25">
      <formula>AND($F14&gt;=(0.333333333333333-0.0001),$F14&gt;=0.6-0.0001,$F14&lt;0.8+0.0001)</formula>
    </cfRule>
    <cfRule type="expression" dxfId="60" priority="26">
      <formula>AND($F14&gt;=(0.333333333333333-0.0001),$F14&gt;=0.4-0.0001,$F14&lt;0.6+0.0001)</formula>
    </cfRule>
    <cfRule type="expression" dxfId="59" priority="27">
      <formula>AND($F14&gt;=(0.333333333333333-0.0001),$F14&gt;=0.2-0.0001,$F14&lt;0.4+0.0001)</formula>
    </cfRule>
    <cfRule type="expression" dxfId="58" priority="28">
      <formula>AND($F14&gt;=(0.333333333333333-0.0001),$F14&gt;=0-0.0001,$F14&lt;0.2+0.0001)</formula>
    </cfRule>
    <cfRule type="expression" dxfId="57" priority="29">
      <formula>AND($F14&lt;0.333333333333333,MOD(ROW()-14,2)=0)</formula>
    </cfRule>
    <cfRule type="expression" dxfId="56" priority="30">
      <formula>AND($F14&lt;0.333333333333333,MOD(ROW()-14,2)=1)</formula>
    </cfRule>
  </conditionalFormatting>
  <conditionalFormatting sqref="K14:K28">
    <cfRule type="expression" dxfId="55" priority="31">
      <formula>AND($F14&gt;=(0.416666666666667-0.0001),$F14&gt;=0.8-0.0001)</formula>
    </cfRule>
    <cfRule type="expression" dxfId="54" priority="32">
      <formula>AND($F14&gt;=(0.416666666666667-0.0001),$F14&gt;=0.6-0.0001,$F14&lt;0.8+0.0001)</formula>
    </cfRule>
    <cfRule type="expression" dxfId="53" priority="33">
      <formula>AND($F14&gt;=(0.416666666666667-0.0001),$F14&gt;=0.4-0.0001,$F14&lt;0.6+0.0001)</formula>
    </cfRule>
    <cfRule type="expression" dxfId="52" priority="34">
      <formula>AND($F14&gt;=(0.416666666666667-0.0001),$F14&gt;=0.2-0.0001,$F14&lt;0.4+0.0001)</formula>
    </cfRule>
    <cfRule type="expression" dxfId="51" priority="35">
      <formula>AND($F14&gt;=(0.416666666666667-0.0001),$F14&gt;=0-0.0001,$F14&lt;0.2+0.0001)</formula>
    </cfRule>
    <cfRule type="expression" dxfId="50" priority="36">
      <formula>AND($F14&lt;0.416666666666667,MOD(ROW()-14,2)=0)</formula>
    </cfRule>
    <cfRule type="expression" dxfId="49" priority="37">
      <formula>AND($F14&lt;0.416666666666667,MOD(ROW()-14,2)=1)</formula>
    </cfRule>
  </conditionalFormatting>
  <conditionalFormatting sqref="L14:L28">
    <cfRule type="expression" dxfId="48" priority="38">
      <formula>AND($F14&gt;=(0.5-0.0001),$F14&gt;=0.8-0.0001)</formula>
    </cfRule>
    <cfRule type="expression" dxfId="47" priority="39">
      <formula>AND($F14&gt;=(0.5-0.0001),$F14&gt;=0.6-0.0001,$F14&lt;0.8+0.0001)</formula>
    </cfRule>
    <cfRule type="expression" dxfId="46" priority="40">
      <formula>AND($F14&gt;=(0.5-0.0001),$F14&gt;=0.4-0.0001,$F14&lt;0.6+0.0001)</formula>
    </cfRule>
    <cfRule type="expression" dxfId="45" priority="41">
      <formula>AND($F14&gt;=(0.5-0.0001),$F14&gt;=0.2-0.0001,$F14&lt;0.4+0.0001)</formula>
    </cfRule>
    <cfRule type="expression" dxfId="44" priority="42">
      <formula>AND($F14&gt;=(0.5-0.0001),$F14&gt;=0-0.0001,$F14&lt;0.2+0.0001)</formula>
    </cfRule>
    <cfRule type="expression" dxfId="43" priority="43">
      <formula>AND($F14&lt;0.5,MOD(ROW()-14,2)=0)</formula>
    </cfRule>
    <cfRule type="expression" dxfId="42" priority="44">
      <formula>AND($F14&lt;0.5,MOD(ROW()-14,2)=1)</formula>
    </cfRule>
  </conditionalFormatting>
  <conditionalFormatting sqref="M14:M28">
    <cfRule type="expression" dxfId="41" priority="45">
      <formula>AND($F14&gt;=(0.583333333333333-0.0001),$F14&gt;=0.8-0.0001)</formula>
    </cfRule>
    <cfRule type="expression" dxfId="40" priority="46">
      <formula>AND($F14&gt;=(0.583333333333333-0.0001),$F14&gt;=0.6-0.0001,$F14&lt;0.8+0.0001)</formula>
    </cfRule>
    <cfRule type="expression" dxfId="39" priority="47">
      <formula>AND($F14&gt;=(0.583333333333333-0.0001),$F14&gt;=0.4-0.0001,$F14&lt;0.6+0.0001)</formula>
    </cfRule>
    <cfRule type="expression" dxfId="38" priority="48">
      <formula>AND($F14&gt;=(0.583333333333333-0.0001),$F14&gt;=0.2-0.0001,$F14&lt;0.4+0.0001)</formula>
    </cfRule>
    <cfRule type="expression" dxfId="37" priority="49">
      <formula>AND($F14&gt;=(0.583333333333333-0.0001),$F14&gt;=0-0.0001,$F14&lt;0.2+0.0001)</formula>
    </cfRule>
    <cfRule type="expression" dxfId="36" priority="50">
      <formula>AND($F14&lt;0.583333333333333,MOD(ROW()-14,2)=0)</formula>
    </cfRule>
    <cfRule type="expression" dxfId="35" priority="51">
      <formula>AND($F14&lt;0.583333333333333,MOD(ROW()-14,2)=1)</formula>
    </cfRule>
  </conditionalFormatting>
  <conditionalFormatting sqref="N14:N28">
    <cfRule type="expression" dxfId="34" priority="52">
      <formula>AND($F14&gt;=(0.666666666666667-0.0001),$F14&gt;=0.8-0.0001)</formula>
    </cfRule>
    <cfRule type="expression" dxfId="33" priority="53">
      <formula>AND($F14&gt;=(0.666666666666667-0.0001),$F14&gt;=0.6-0.0001,$F14&lt;0.8+0.0001)</formula>
    </cfRule>
    <cfRule type="expression" dxfId="32" priority="54">
      <formula>AND($F14&gt;=(0.666666666666667-0.0001),$F14&gt;=0.4-0.0001,$F14&lt;0.6+0.0001)</formula>
    </cfRule>
    <cfRule type="expression" dxfId="31" priority="55">
      <formula>AND($F14&gt;=(0.666666666666667-0.0001),$F14&gt;=0.2-0.0001,$F14&lt;0.4+0.0001)</formula>
    </cfRule>
    <cfRule type="expression" dxfId="30" priority="56">
      <formula>AND($F14&gt;=(0.666666666666667-0.0001),$F14&gt;=0-0.0001,$F14&lt;0.2+0.0001)</formula>
    </cfRule>
    <cfRule type="expression" dxfId="29" priority="57">
      <formula>AND($F14&lt;0.666666666666667,MOD(ROW()-14,2)=0)</formula>
    </cfRule>
    <cfRule type="expression" dxfId="28" priority="58">
      <formula>AND($F14&lt;0.666666666666667,MOD(ROW()-14,2)=1)</formula>
    </cfRule>
  </conditionalFormatting>
  <conditionalFormatting sqref="O14:O28">
    <cfRule type="expression" dxfId="27" priority="59">
      <formula>AND($F14&gt;=(0.75-0.0001),$F14&gt;=0.8-0.0001)</formula>
    </cfRule>
    <cfRule type="expression" dxfId="26" priority="60">
      <formula>AND($F14&gt;=(0.75-0.0001),$F14&gt;=0.6-0.0001,$F14&lt;0.8+0.0001)</formula>
    </cfRule>
    <cfRule type="expression" dxfId="25" priority="61">
      <formula>AND($F14&gt;=(0.75-0.0001),$F14&gt;=0.4-0.0001,$F14&lt;0.6+0.0001)</formula>
    </cfRule>
    <cfRule type="expression" dxfId="24" priority="62">
      <formula>AND($F14&gt;=(0.75-0.0001),$F14&gt;=0.2-0.0001,$F14&lt;0.4+0.0001)</formula>
    </cfRule>
    <cfRule type="expression" dxfId="23" priority="63">
      <formula>AND($F14&gt;=(0.75-0.0001),$F14&gt;=0-0.0001,$F14&lt;0.2+0.0001)</formula>
    </cfRule>
    <cfRule type="expression" dxfId="22" priority="64">
      <formula>AND($F14&lt;0.75,MOD(ROW()-14,2)=0)</formula>
    </cfRule>
    <cfRule type="expression" dxfId="21" priority="65">
      <formula>AND($F14&lt;0.75,MOD(ROW()-14,2)=1)</formula>
    </cfRule>
  </conditionalFormatting>
  <conditionalFormatting sqref="P14:P28">
    <cfRule type="expression" dxfId="20" priority="66">
      <formula>AND($F14&gt;=(0.833333333333333-0.0001),$F14&gt;=0.8-0.0001)</formula>
    </cfRule>
    <cfRule type="expression" dxfId="19" priority="67">
      <formula>AND($F14&gt;=(0.833333333333333-0.0001),$F14&gt;=0.6-0.0001,$F14&lt;0.8+0.0001)</formula>
    </cfRule>
    <cfRule type="expression" dxfId="18" priority="68">
      <formula>AND($F14&gt;=(0.833333333333333-0.0001),$F14&gt;=0.4-0.0001,$F14&lt;0.6+0.0001)</formula>
    </cfRule>
    <cfRule type="expression" dxfId="17" priority="69">
      <formula>AND($F14&gt;=(0.833333333333333-0.0001),$F14&gt;=0.2-0.0001,$F14&lt;0.4+0.0001)</formula>
    </cfRule>
    <cfRule type="expression" dxfId="16" priority="70">
      <formula>AND($F14&gt;=(0.833333333333333-0.0001),$F14&gt;=0-0.0001,$F14&lt;0.2+0.0001)</formula>
    </cfRule>
    <cfRule type="expression" dxfId="15" priority="71">
      <formula>AND($F14&lt;0.833333333333333,MOD(ROW()-14,2)=0)</formula>
    </cfRule>
    <cfRule type="expression" dxfId="14" priority="72">
      <formula>AND($F14&lt;0.833333333333333,MOD(ROW()-14,2)=1)</formula>
    </cfRule>
  </conditionalFormatting>
  <conditionalFormatting sqref="Q14:Q28">
    <cfRule type="expression" dxfId="13" priority="73">
      <formula>AND($F14&gt;=(0.916666666666667-0.0001),$F14&gt;=0.8-0.0001)</formula>
    </cfRule>
    <cfRule type="expression" dxfId="12" priority="74">
      <formula>AND($F14&gt;=(0.916666666666667-0.0001),$F14&gt;=0.6-0.0001,$F14&lt;0.8+0.0001)</formula>
    </cfRule>
    <cfRule type="expression" dxfId="11" priority="75">
      <formula>AND($F14&gt;=(0.916666666666667-0.0001),$F14&gt;=0.4-0.0001,$F14&lt;0.6+0.0001)</formula>
    </cfRule>
    <cfRule type="expression" dxfId="10" priority="76">
      <formula>AND($F14&gt;=(0.916666666666667-0.0001),$F14&gt;=0.2-0.0001,$F14&lt;0.4+0.0001)</formula>
    </cfRule>
    <cfRule type="expression" dxfId="9" priority="77">
      <formula>AND($F14&gt;=(0.916666666666667-0.0001),$F14&gt;=0-0.0001,$F14&lt;0.2+0.0001)</formula>
    </cfRule>
    <cfRule type="expression" dxfId="8" priority="78">
      <formula>AND($F14&lt;0.916666666666667,MOD(ROW()-14,2)=0)</formula>
    </cfRule>
    <cfRule type="expression" dxfId="7" priority="79">
      <formula>AND($F14&lt;0.916666666666667,MOD(ROW()-14,2)=1)</formula>
    </cfRule>
  </conditionalFormatting>
  <conditionalFormatting sqref="R14:R28">
    <cfRule type="expression" dxfId="6" priority="80">
      <formula>AND($F14&gt;=(1-0.0001),$F14&gt;=0.8-0.0001)</formula>
    </cfRule>
    <cfRule type="expression" dxfId="5" priority="81">
      <formula>AND($F14&gt;=(1-0.0001),$F14&gt;=0.6-0.0001,$F14&lt;0.8+0.0001)</formula>
    </cfRule>
    <cfRule type="expression" dxfId="4" priority="82">
      <formula>AND($F14&gt;=(1-0.0001),$F14&gt;=0.4-0.0001,$F14&lt;0.6+0.0001)</formula>
    </cfRule>
    <cfRule type="expression" dxfId="3" priority="83">
      <formula>AND($F14&gt;=(1-0.0001),$F14&gt;=0.2-0.0001,$F14&lt;0.4+0.0001)</formula>
    </cfRule>
    <cfRule type="expression" dxfId="2" priority="84">
      <formula>AND($F14&gt;=(1-0.0001),$F14&gt;=0-0.0001,$F14&lt;0.2+0.0001)</formula>
    </cfRule>
    <cfRule type="expression" dxfId="1" priority="85">
      <formula>AND($F14&lt;1,MOD(ROW()-14,2)=0)</formula>
    </cfRule>
    <cfRule type="expression" dxfId="0" priority="86">
      <formula>AND($F14&lt;1,MOD(ROW()-14,2)=1)</formula>
    </cfRule>
  </conditionalFormatting>
  <dataValidations count="2">
    <dataValidation type="list" allowBlank="1" sqref="T14:T38" xr:uid="{00000000-0002-0000-0000-000000000000}">
      <formula1>"En attente,En cours,Terminé"</formula1>
      <formula2>0</formula2>
    </dataValidation>
    <dataValidation type="list" allowBlank="1" sqref="E14:E38" xr:uid="{00000000-0002-0000-0000-000001000000}">
      <formula1>"Haute,Moyenne,Basse"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To-Do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Emmanuel KOURAOGO</cp:lastModifiedBy>
  <cp:revision>0</cp:revision>
  <dcterms:created xsi:type="dcterms:W3CDTF">2026-06-27T20:52:08Z</dcterms:created>
  <dcterms:modified xsi:type="dcterms:W3CDTF">2026-06-27T21:09:51Z</dcterms:modified>
  <dc:language>en-US</dc:language>
</cp:coreProperties>
</file>